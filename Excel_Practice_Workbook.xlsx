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as" sheetId="1" state="visible" r:id="rId3"/>
    <sheet name="Sales_Data" sheetId="2" state="visible" r:id="rId4"/>
    <sheet name="Student_Marks" sheetId="3" state="visible" r:id="rId5"/>
    <sheet name="Try_It" sheetId="4" state="visible" r:id="rId6"/>
    <sheet name="MAXIFS_Demo" sheetId="5" state="visible" r:id="rId7"/>
    <sheet name="Practice" sheetId="6" state="visible" r:id="rId8"/>
    <sheet name="Answer_Key" sheetId="7" state="visible" r:id="rId9"/>
    <sheet name="Interview_Q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<sst xmlns="http://schemas.openxmlformats.org/spreadsheetml/2006/main" count="328" uniqueCount="216">
  <si>
    <t xml:space="preserve">Excel Basics - Formulas, Definitions and Live Examples</t>
  </si>
  <si>
    <t xml:space="preserve">Each 'Live Result' is a real formula working on the Sales_Data and Student_Marks sheets. Edit the blue data there and watch the results change.</t>
  </si>
  <si>
    <t xml:space="preserve">#</t>
  </si>
  <si>
    <t xml:space="preserve">Function</t>
  </si>
  <si>
    <t xml:space="preserve">Syntax</t>
  </si>
  <si>
    <t xml:space="preserve">Definition</t>
  </si>
  <si>
    <t xml:space="preserve">Example Formula</t>
  </si>
  <si>
    <t xml:space="preserve">Live Result</t>
  </si>
  <si>
    <t xml:space="preserve">SUM</t>
  </si>
  <si>
    <t xml:space="preserve">SUM(range)</t>
  </si>
  <si>
    <t xml:space="preserve">Adds all numbers in a range.</t>
  </si>
  <si>
    <t xml:space="preserve">=SUM(Sales_Data!D2:D16)</t>
  </si>
  <si>
    <t xml:space="preserve">AVERAGE</t>
  </si>
  <si>
    <t xml:space="preserve">AVERAGE(range)</t>
  </si>
  <si>
    <t xml:space="preserve">Arithmetic mean (total / count). Ignores text and blank cells.</t>
  </si>
  <si>
    <t xml:space="preserve">=AVERAGE(Sales_Data!D2:D16)</t>
  </si>
  <si>
    <t xml:space="preserve">COUNT</t>
  </si>
  <si>
    <t xml:space="preserve">COUNT(range)</t>
  </si>
  <si>
    <t xml:space="preserve">Counts cells that contain numbers (and dates) only.</t>
  </si>
  <si>
    <t xml:space="preserve">=COUNT(Sales_Data!D2:D16)</t>
  </si>
  <si>
    <t xml:space="preserve">MAX</t>
  </si>
  <si>
    <t xml:space="preserve">MAX(range)</t>
  </si>
  <si>
    <t xml:space="preserve">Returns the largest value in a range.</t>
  </si>
  <si>
    <t xml:space="preserve">=MAX(Sales_Data!D2:D16)</t>
  </si>
  <si>
    <t xml:space="preserve">MIN</t>
  </si>
  <si>
    <t xml:space="preserve">MIN(range)</t>
  </si>
  <si>
    <t xml:space="preserve">Returns the smallest value in a range.</t>
  </si>
  <si>
    <t xml:space="preserve">=MIN(Sales_Data!D2:D16)</t>
  </si>
  <si>
    <t xml:space="preserve">IF</t>
  </si>
  <si>
    <t xml:space="preserve">IF(logical_test, value_if_true, value_if_false)</t>
  </si>
  <si>
    <t xml:space="preserve">Tests a condition. Returns the first value if TRUE, the second if FALSE.</t>
  </si>
  <si>
    <t xml:space="preserve">=IF(Sales_Data!D2&gt;1000,"Yes","No")</t>
  </si>
  <si>
    <t xml:space="preserve">Nested IF</t>
  </si>
  <si>
    <t xml:space="preserve">IF(test1, v1, IF(test2, v2, v3))</t>
  </si>
  <si>
    <t xml:space="preserve">An IF inside an IF to test several conditions in order.</t>
  </si>
  <si>
    <t xml:space="preserve">=IF(Student_Marks!B2&gt;=80,"A",IF(Student_Marks!B2&gt;=60,"B","C"))</t>
  </si>
  <si>
    <t xml:space="preserve">COUNTIF</t>
  </si>
  <si>
    <t xml:space="preserve">COUNTIF(range, criteria)</t>
  </si>
  <si>
    <t xml:space="preserve">Counts cells that meet ONE condition.</t>
  </si>
  <si>
    <t xml:space="preserve">=COUNTIF(Sales_Data!D2:D16,"&gt;500")</t>
  </si>
  <si>
    <t xml:space="preserve">SUMIF</t>
  </si>
  <si>
    <t xml:space="preserve">SUMIF(range, criteria, [sum_range])</t>
  </si>
  <si>
    <t xml:space="preserve">Adds cells that meet a condition. If sum_range is omitted, the tested range is summed.</t>
  </si>
  <si>
    <t xml:space="preserve">=SUMIF(Sales_Data!D2:D16,"&lt;1000")</t>
  </si>
  <si>
    <t xml:space="preserve">SUMIF (with sum_range)</t>
  </si>
  <si>
    <t xml:space="preserve">SUMIF(range, criteria, sum_range)</t>
  </si>
  <si>
    <t xml:space="preserve">Tests one column and sums another.</t>
  </si>
  <si>
    <t xml:space="preserve">=SUMIF(Sales_Data!B2:B16,"Amazon",Sales_Data!D2:D16)</t>
  </si>
  <si>
    <t xml:space="preserve">COUNTA</t>
  </si>
  <si>
    <t xml:space="preserve">COUNTA(range)</t>
  </si>
  <si>
    <t xml:space="preserve">Counts all NON-empty cells (numbers, text, errors).</t>
  </si>
  <si>
    <t xml:space="preserve">=COUNTA(Sales_Data!F2:F16)</t>
  </si>
  <si>
    <t xml:space="preserve">COUNTBLANK</t>
  </si>
  <si>
    <t xml:space="preserve">COUNTBLANK(range)</t>
  </si>
  <si>
    <t xml:space="preserve">Counts EMPTY cells in a range.</t>
  </si>
  <si>
    <t xml:space="preserve">=COUNTBLANK(Sales_Data!D2:D16)</t>
  </si>
  <si>
    <t xml:space="preserve">Percentage</t>
  </si>
  <si>
    <t xml:space="preserve">(part / whole) * 100</t>
  </si>
  <si>
    <t xml:space="preserve">Part divided by whole, times 100. Or use part/whole and apply the % number format.</t>
  </si>
  <si>
    <t xml:space="preserve">=(COUNTIF(Student_Marks!B2:B13,"&gt;=40")/COUNT(Student_Marks!B2:B13))*100</t>
  </si>
  <si>
    <t xml:space="preserve">COUNTIFS</t>
  </si>
  <si>
    <t xml:space="preserve">COUNTIFS(range1, crit1, range2, crit2, ...)</t>
  </si>
  <si>
    <t xml:space="preserve">Counts cells that meet MANY conditions at once.</t>
  </si>
  <si>
    <t xml:space="preserve">=COUNTIFS(Sales_Data!B2:B16,"Amazon",Sales_Data!C2:C16,"Delhi")</t>
  </si>
  <si>
    <t xml:space="preserve">SUMIFS</t>
  </si>
  <si>
    <t xml:space="preserve">SUMIFS(sum_range, range1, crit1, ...)</t>
  </si>
  <si>
    <t xml:space="preserve">Adds cells meeting many conditions. Note: sum_range comes FIRST.</t>
  </si>
  <si>
    <t xml:space="preserve">=SUMIFS(Sales_Data!D2:D16,Sales_Data!B2:B16,"Amazon",Sales_Data!C2:C16,"Delhi")</t>
  </si>
  <si>
    <t xml:space="preserve">MAXIFS</t>
  </si>
  <si>
    <t xml:space="preserve">MAXIFS(max_range, criteria_range, criteria)</t>
  </si>
  <si>
    <t xml:space="preserve">Largest value where the criteria matches. Excel 2019 / Microsoft 365 only.</t>
  </si>
  <si>
    <t xml:space="preserve">=MAXIFS(Sales_Data!D2:D16,Sales_Data!B2:B16,"Amazon")</t>
  </si>
  <si>
    <t xml:space="preserve">MINIFS</t>
  </si>
  <si>
    <t xml:space="preserve">MINIFS(min_range, criteria_range, criteria)</t>
  </si>
  <si>
    <t xml:space="preserve">Smallest value where the criteria matches. Excel 2019 / Microsoft 365 only.</t>
  </si>
  <si>
    <t xml:space="preserve">=MINIFS(Sales_Data!D2:D16,Sales_Data!B2:B16,"Amazon")</t>
  </si>
  <si>
    <t xml:space="preserve">COUNTIF wildcard</t>
  </si>
  <si>
    <t xml:space="preserve">COUNTIF(range, "A*")</t>
  </si>
  <si>
    <t xml:space="preserve">* matches any characters, ? matches one character. Here: brands starting with A.</t>
  </si>
  <si>
    <t xml:space="preserve">=COUNTIF(Sales_Data!B2:B16,"A*")</t>
  </si>
  <si>
    <t xml:space="preserve">Tip: SUMIF and COUNTIF take ONE condition; SUMIFS and COUNTIFS take many. In SUMIF the sum_range is last, in SUMIFS it is first.</t>
  </si>
  <si>
    <t xml:space="preserve">Order ID</t>
  </si>
  <si>
    <t xml:space="preserve">Brand</t>
  </si>
  <si>
    <t xml:space="preserve">City</t>
  </si>
  <si>
    <t xml:space="preserve">Price</t>
  </si>
  <si>
    <t xml:space="preserve">Qty</t>
  </si>
  <si>
    <t xml:space="preserve">Status</t>
  </si>
  <si>
    <t xml:space="preserve">Blue = sample data you can edit. Two Price cells and two Status cells are deliberately blank, to demonstrate COUNT, COUNTA and COUNTBLANK.</t>
  </si>
  <si>
    <t xml:space="preserve">ORD-101</t>
  </si>
  <si>
    <t xml:space="preserve">Amazon</t>
  </si>
  <si>
    <t xml:space="preserve">Delhi</t>
  </si>
  <si>
    <t xml:space="preserve">Delivered</t>
  </si>
  <si>
    <t xml:space="preserve">ORD-102</t>
  </si>
  <si>
    <t xml:space="preserve">Flipkart</t>
  </si>
  <si>
    <t xml:space="preserve">Mumbai</t>
  </si>
  <si>
    <t xml:space="preserve">ORD-103</t>
  </si>
  <si>
    <t xml:space="preserve">Returned</t>
  </si>
  <si>
    <t xml:space="preserve">ORD-104</t>
  </si>
  <si>
    <t xml:space="preserve">Myntra</t>
  </si>
  <si>
    <t xml:space="preserve">Jaipur</t>
  </si>
  <si>
    <t xml:space="preserve">ORD-105</t>
  </si>
  <si>
    <t xml:space="preserve">ORD-106</t>
  </si>
  <si>
    <t xml:space="preserve">ORD-107</t>
  </si>
  <si>
    <t xml:space="preserve">ORD-108</t>
  </si>
  <si>
    <t xml:space="preserve">ORD-109</t>
  </si>
  <si>
    <t xml:space="preserve">ORD-110</t>
  </si>
  <si>
    <t xml:space="preserve">ORD-111</t>
  </si>
  <si>
    <t xml:space="preserve">ORD-112</t>
  </si>
  <si>
    <t xml:space="preserve">ORD-113</t>
  </si>
  <si>
    <t xml:space="preserve">ORD-114</t>
  </si>
  <si>
    <t xml:space="preserve">ORD-115</t>
  </si>
  <si>
    <t xml:space="preserve">Student</t>
  </si>
  <si>
    <t xml:space="preserve">Marks</t>
  </si>
  <si>
    <t xml:space="preserve">Result (IF)</t>
  </si>
  <si>
    <t xml:space="preserve">Grade (Nested IF)</t>
  </si>
  <si>
    <t xml:space="preserve">Blue = marks you can edit. Columns C and D are formulas and update automatically. Pass mark = 40; Grade A &gt;= 80, B &gt;= 60, else C.</t>
  </si>
  <si>
    <t xml:space="preserve">Aarav</t>
  </si>
  <si>
    <t xml:space="preserve">Diya</t>
  </si>
  <si>
    <t xml:space="preserve">Kabir</t>
  </si>
  <si>
    <t xml:space="preserve">Meera</t>
  </si>
  <si>
    <t xml:space="preserve">Rohan</t>
  </si>
  <si>
    <t xml:space="preserve">Sana</t>
  </si>
  <si>
    <t xml:space="preserve">Vivaan</t>
  </si>
  <si>
    <t xml:space="preserve">Ishita</t>
  </si>
  <si>
    <t xml:space="preserve">Neha</t>
  </si>
  <si>
    <t xml:space="preserve">Tara</t>
  </si>
  <si>
    <t xml:space="preserve">Yash</t>
  </si>
  <si>
    <t xml:space="preserve">Arjun</t>
  </si>
  <si>
    <t xml:space="preserve">Try It Yourself</t>
  </si>
  <si>
    <t xml:space="preserve">Change the yellow cells. Brand can be Amazon, Flipkart or Myntra. City can be Delhi, Mumbai or Jaipur.</t>
  </si>
  <si>
    <t xml:space="preserve">Minimum price</t>
  </si>
  <si>
    <t xml:space="preserve">What it calculates</t>
  </si>
  <si>
    <t xml:space="preserve">Result</t>
  </si>
  <si>
    <t xml:space="preserve">Orders for this brand (COUNTIF)</t>
  </si>
  <si>
    <t xml:space="preserve">Total price for this brand (SUMIF)</t>
  </si>
  <si>
    <t xml:space="preserve">Highest price for this brand (MAXIFS)</t>
  </si>
  <si>
    <t xml:space="preserve">Lowest price for this brand (MINIFS)</t>
  </si>
  <si>
    <t xml:space="preserve">Orders for this brand in this city (COUNTIFS)</t>
  </si>
  <si>
    <t xml:space="preserve">Orders for this brand in this city above minimum price</t>
  </si>
  <si>
    <t xml:space="preserve">Total price for this brand in this city (SUMIFS)</t>
  </si>
  <si>
    <t xml:space="preserve">Share of all orders from this brand (%)</t>
  </si>
  <si>
    <t xml:space="preserve">MAX + MAXIFS (from your notes)</t>
  </si>
  <si>
    <t xml:space="preserve">Three Price/Brand column pairs. The goal: find the highest Amazon price across all three pairs.</t>
  </si>
  <si>
    <t xml:space="preserve">Amazon max in pair 1 (C, D)</t>
  </si>
  <si>
    <t xml:space="preserve">Amazon max in pair 2 (G, H)</t>
  </si>
  <si>
    <t xml:space="preserve">Amazon max in pair 3 (K, L)</t>
  </si>
  <si>
    <t xml:space="preserve">Final: MAX of the three</t>
  </si>
  <si>
    <t xml:space="preserve">Change the brand here:</t>
  </si>
  <si>
    <t xml:space="preserve">Same formula using the brand cell</t>
  </si>
  <si>
    <t xml:space="preserve">Formula shown as text:</t>
  </si>
  <si>
    <t xml:space="preserve">=MAX(MAXIFS(C5:C12,D5:D12,"Amazon"), MAXIFS(G5:G12,H5:H12,"Amazon"), MAXIFS(K5:K12,L5:L12,"Amazon"))</t>
  </si>
  <si>
    <t xml:space="preserve">Older Excel (no MAXIFS): =MAX(IF(D5:D12="Amazon",C5:C12)) entered with Ctrl+Shift+Enter.</t>
  </si>
  <si>
    <t xml:space="preserve">Practice Questions</t>
  </si>
  <si>
    <t xml:space="preserve">Type your formula in the yellow cell (start with =). The Check column tells you if it matches the answer key. Data is on Sales_Data and Student_Marks.</t>
  </si>
  <si>
    <t xml:space="preserve">Question</t>
  </si>
  <si>
    <t xml:space="preserve">Your Answer (yellow)</t>
  </si>
  <si>
    <t xml:space="preserve">Check</t>
  </si>
  <si>
    <t xml:space="preserve">Total price of all orders (Sales_Data column D).</t>
  </si>
  <si>
    <t xml:space="preserve">Average price of the orders that have a price.</t>
  </si>
  <si>
    <t xml:space="preserve">How many orders have a price entered?</t>
  </si>
  <si>
    <t xml:space="preserve">Highest price.</t>
  </si>
  <si>
    <t xml:space="preserve">Lowest price.</t>
  </si>
  <si>
    <t xml:space="preserve">How many orders are missing a price?</t>
  </si>
  <si>
    <t xml:space="preserve">How many orders have a Status entered?</t>
  </si>
  <si>
    <t xml:space="preserve">How many orders are from Amazon?</t>
  </si>
  <si>
    <t xml:space="preserve">Total price of Amazon orders.</t>
  </si>
  <si>
    <t xml:space="preserve">Highest Amazon price.</t>
  </si>
  <si>
    <t xml:space="preserve">Amazon orders from Delhi with price above 500.</t>
  </si>
  <si>
    <t xml:space="preserve">Percentage of students who passed (marks &gt;= 40), as a number like 75.</t>
  </si>
  <si>
    <t xml:space="preserve">Is the first student's result Pass or Fail (pass mark 40)?</t>
  </si>
  <si>
    <t xml:space="preserve">How many brands start with the letter F?</t>
  </si>
  <si>
    <t xml:space="preserve">Answer Key</t>
  </si>
  <si>
    <t xml:space="preserve">Formula</t>
  </si>
  <si>
    <t xml:space="preserve">=COUNTIF(Sales_Data!B2:B16,"Amazon")</t>
  </si>
  <si>
    <t xml:space="preserve">SUMIF with sum_range</t>
  </si>
  <si>
    <t xml:space="preserve">=COUNTIFS(Sales_Data!B2:B16,"Amazon",Sales_Data!C2:C16,"Delhi",Sales_Data!D2:D16,"&gt;500")</t>
  </si>
  <si>
    <t xml:space="preserve">=IF(Student_Marks!B2&gt;=40,"Pass","Fail")</t>
  </si>
  <si>
    <t xml:space="preserve">=COUNTIF(Sales_Data!B2:B16,"F*")</t>
  </si>
  <si>
    <t xml:space="preserve">Interview Questions and Answers</t>
  </si>
  <si>
    <t xml:space="preserve">Level</t>
  </si>
  <si>
    <t xml:space="preserve">Answer</t>
  </si>
  <si>
    <t xml:space="preserve">Basic</t>
  </si>
  <si>
    <t xml:space="preserve">Difference between COUNT, COUNTA and COUNTBLANK?</t>
  </si>
  <si>
    <t xml:space="preserve">COUNT counts numbers only, COUNTA counts every non-empty cell, COUNTBLANK counts empty cells.</t>
  </si>
  <si>
    <t xml:space="preserve">Difference between SUM and SUMIF?</t>
  </si>
  <si>
    <t xml:space="preserve">SUM adds every number in the range; SUMIF adds only cells that meet a condition.</t>
  </si>
  <si>
    <t xml:space="preserve">How do you calculate a percentage?</t>
  </si>
  <si>
    <t xml:space="preserve">=(part/whole)*100, or =part/whole and apply the % number format.</t>
  </si>
  <si>
    <t xml:space="preserve">What does AVERAGE do with text or blank cells?</t>
  </si>
  <si>
    <t xml:space="preserve">It ignores them; only numeric cells are used.</t>
  </si>
  <si>
    <t xml:space="preserve">Return Pass if marks &gt;= 40, else Fail.</t>
  </si>
  <si>
    <t xml:space="preserve">=IF(A1&gt;=40,"Pass","Fail")</t>
  </si>
  <si>
    <t xml:space="preserve">Intermediate</t>
  </si>
  <si>
    <t xml:space="preserve">COUNTIF vs COUNTIFS?</t>
  </si>
  <si>
    <t xml:space="preserve">COUNTIF has one condition; COUNTIFS has several, e.g. =COUNTIFS(A:A,"Delhi",B:B,"&gt;50").</t>
  </si>
  <si>
    <t xml:space="preserve">SUMIF vs SUMIFS: where is sum_range?</t>
  </si>
  <si>
    <t xml:space="preserve">Last in SUMIF, first in SUMIFS.</t>
  </si>
  <si>
    <t xml:space="preserve">Count cells containing 'Delhi'.</t>
  </si>
  <si>
    <t xml:space="preserve">=COUNTIF(A1:A10,"Delhi")</t>
  </si>
  <si>
    <t xml:space="preserve">Write a nested IF for grades A (80+), B (60+), C.</t>
  </si>
  <si>
    <t xml:space="preserve">=IF(A1&gt;=80,"A",IF(A1&gt;=60,"B","C"))</t>
  </si>
  <si>
    <t xml:space="preserve">What are wildcards in COUNTIF?</t>
  </si>
  <si>
    <t xml:space="preserve">* matches any number of characters, ? matches one. =COUNTIF(A1:A10,"A*") counts cells starting with A.</t>
  </si>
  <si>
    <t xml:space="preserve">Why can COUNT be smaller than COUNTA?</t>
  </si>
  <si>
    <t xml:space="preserve">COUNT skips text; COUNTA counts text as well.</t>
  </si>
  <si>
    <t xml:space="preserve">Scenario</t>
  </si>
  <si>
    <t xml:space="preserve">Find how many entries are blank in a Price column.</t>
  </si>
  <si>
    <t xml:space="preserve">=COUNTBLANK(B2:B501)</t>
  </si>
  <si>
    <t xml:space="preserve">Percentage of students scoring above 50.</t>
  </si>
  <si>
    <t xml:space="preserve">=COUNTIF(B2:B101,"&gt;50")/COUNT(B2:B101)</t>
  </si>
  <si>
    <t xml:space="preserve">SUM returns 0 because numbers are stored as text. Fix?</t>
  </si>
  <si>
    <t xml:space="preserve">Text to Columns, VALUE(), multiply by 1, or Paste Special &gt; Multiply.</t>
  </si>
  <si>
    <t xml:space="preserve">Highest and lowest sale for one brand?</t>
  </si>
  <si>
    <t xml:space="preserve">=MAXIFS(C:C,D:D,"Amazon") and =MINIFS(C:C,D:D,"Amazon")</t>
  </si>
  <si>
    <t xml:space="preserve">MAXIFS alternative in older Excel?</t>
  </si>
  <si>
    <t xml:space="preserve">Array formula =MAX(IF(D5:D12="Amazon",C5:C12)) with Ctrl+Shift+Enter, or AGGREGATE.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</si>
</sst>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"/>
    <numFmt numFmtId="168" formatCode="0.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Courier New"/>
      <family val="0"/>
      <charset val="1"/>
    </font>
    <font>
      <sz val="9"/>
      <color rgb="FF0B5394"/>
      <name val="Courier New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  <fill>
      <patternFill patternType="solid">
        <fgColor rgb="FFEAF3EE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BE"/>
      </left>
      <right style="thin">
        <color rgb="FFB7C9BE"/>
      </right>
      <top style="thin">
        <color rgb="FFB7C9BE"/>
      </top>
      <bottom style="thin">
        <color rgb="FFB7C9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B7C9BE"/>
      <rgbColor rgb="FF808080"/>
      <rgbColor rgb="FF9999FF"/>
      <rgbColor rgb="FF993366"/>
      <rgbColor rgb="FFEAF3EE"/>
      <rgbColor rgb="FFCCFFFF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2" hidden="false" customHeight="true" outlineLevel="0" collapsed="false">
      <c r="A5" s="4" t="n">
        <v>1</v>
      </c>
      <c r="B5" s="5" t="s">
        <v>8</v>
      </c>
      <c r="C5" s="6" t="s">
        <v>9</v>
      </c>
      <c r="D5" s="7" t="s">
        <v>10</v>
      </c>
      <c r="E5" s="8" t="s">
        <v>11</v>
      </c>
      <c r="F5" s="9" t="n">
        <f aca="false">SUM(Sales_Data!D2:D16)</f>
        <v>12175</v>
      </c>
    </row>
    <row r="6" customFormat="false" ht="42" hidden="false" customHeight="true" outlineLevel="0" collapsed="false">
      <c r="A6" s="10" t="n">
        <v>2</v>
      </c>
      <c r="B6" s="11" t="s">
        <v>12</v>
      </c>
      <c r="C6" s="12" t="s">
        <v>13</v>
      </c>
      <c r="D6" s="13" t="s">
        <v>14</v>
      </c>
      <c r="E6" s="14" t="s">
        <v>15</v>
      </c>
      <c r="F6" s="15" t="n">
        <f aca="false">AVERAGE(Sales_Data!D2:D16)</f>
        <v>936.538461538462</v>
      </c>
    </row>
    <row r="7" customFormat="false" ht="42" hidden="false" customHeight="true" outlineLevel="0" collapsed="false">
      <c r="A7" s="4" t="n">
        <v>3</v>
      </c>
      <c r="B7" s="5" t="s">
        <v>16</v>
      </c>
      <c r="C7" s="6" t="s">
        <v>17</v>
      </c>
      <c r="D7" s="7" t="s">
        <v>18</v>
      </c>
      <c r="E7" s="8" t="s">
        <v>19</v>
      </c>
      <c r="F7" s="16" t="n">
        <f aca="false">COUNT(Sales_Data!D2:D16)</f>
        <v>13</v>
      </c>
    </row>
    <row r="8" customFormat="false" ht="42" hidden="false" customHeight="true" outlineLevel="0" collapsed="false">
      <c r="A8" s="10" t="n">
        <v>4</v>
      </c>
      <c r="B8" s="11" t="s">
        <v>20</v>
      </c>
      <c r="C8" s="12" t="s">
        <v>21</v>
      </c>
      <c r="D8" s="13" t="s">
        <v>22</v>
      </c>
      <c r="E8" s="14" t="s">
        <v>23</v>
      </c>
      <c r="F8" s="17" t="n">
        <f aca="false">MAX(Sales_Data!D2:D16)</f>
        <v>2200</v>
      </c>
    </row>
    <row r="9" customFormat="false" ht="42" hidden="false" customHeight="true" outlineLevel="0" collapsed="false">
      <c r="A9" s="4" t="n">
        <v>5</v>
      </c>
      <c r="B9" s="5" t="s">
        <v>24</v>
      </c>
      <c r="C9" s="6" t="s">
        <v>25</v>
      </c>
      <c r="D9" s="7" t="s">
        <v>26</v>
      </c>
      <c r="E9" s="8" t="s">
        <v>27</v>
      </c>
      <c r="F9" s="9" t="n">
        <f aca="false">MIN(Sales_Data!D2:D16)</f>
        <v>275</v>
      </c>
    </row>
    <row r="10" customFormat="false" ht="42" hidden="false" customHeight="true" outlineLevel="0" collapsed="false">
      <c r="A10" s="10" t="n">
        <v>6</v>
      </c>
      <c r="B10" s="11" t="s">
        <v>28</v>
      </c>
      <c r="C10" s="12" t="s">
        <v>29</v>
      </c>
      <c r="D10" s="13" t="s">
        <v>30</v>
      </c>
      <c r="E10" s="14" t="s">
        <v>31</v>
      </c>
      <c r="F10" s="18" t="str">
        <f aca="false">IF(Sales_Data!D2&gt;1000,"Yes","No")</f>
        <v>Yes</v>
      </c>
    </row>
    <row r="11" customFormat="false" ht="42" hidden="false" customHeight="true" outlineLevel="0" collapsed="false">
      <c r="A11" s="4" t="n">
        <v>7</v>
      </c>
      <c r="B11" s="5" t="s">
        <v>32</v>
      </c>
      <c r="C11" s="6" t="s">
        <v>33</v>
      </c>
      <c r="D11" s="7" t="s">
        <v>34</v>
      </c>
      <c r="E11" s="8" t="s">
        <v>35</v>
      </c>
      <c r="F11" s="19" t="str">
        <f aca="false">IF(Student_Marks!B2&gt;=80,"A",IF(Student_Marks!B2&gt;=60,"B","C"))</f>
        <v>B</v>
      </c>
    </row>
    <row r="12" customFormat="false" ht="42" hidden="false" customHeight="true" outlineLevel="0" collapsed="false">
      <c r="A12" s="10" t="n">
        <v>8</v>
      </c>
      <c r="B12" s="11" t="s">
        <v>36</v>
      </c>
      <c r="C12" s="12" t="s">
        <v>37</v>
      </c>
      <c r="D12" s="13" t="s">
        <v>38</v>
      </c>
      <c r="E12" s="14" t="s">
        <v>39</v>
      </c>
      <c r="F12" s="20" t="n">
        <f aca="false">COUNTIF(Sales_Data!D2:D16,"&gt;500")</f>
        <v>9</v>
      </c>
    </row>
    <row r="13" customFormat="false" ht="42" hidden="false" customHeight="true" outlineLevel="0" collapsed="false">
      <c r="A13" s="4" t="n">
        <v>9</v>
      </c>
      <c r="B13" s="5" t="s">
        <v>40</v>
      </c>
      <c r="C13" s="6" t="s">
        <v>41</v>
      </c>
      <c r="D13" s="7" t="s">
        <v>42</v>
      </c>
      <c r="E13" s="8" t="s">
        <v>43</v>
      </c>
      <c r="F13" s="9" t="n">
        <f aca="false">SUMIF(Sales_Data!D2:D16,"&lt;1000")</f>
        <v>4425</v>
      </c>
    </row>
    <row r="14" customFormat="false" ht="42" hidden="false" customHeight="true" outlineLevel="0" collapsed="false">
      <c r="A14" s="10" t="n">
        <v>10</v>
      </c>
      <c r="B14" s="11" t="s">
        <v>44</v>
      </c>
      <c r="C14" s="12" t="s">
        <v>45</v>
      </c>
      <c r="D14" s="13" t="s">
        <v>46</v>
      </c>
      <c r="E14" s="14" t="s">
        <v>47</v>
      </c>
      <c r="F14" s="17" t="n">
        <f aca="false">SUMIF(Sales_Data!B2:B16,"Amazon",Sales_Data!D2:D16)</f>
        <v>6855</v>
      </c>
    </row>
    <row r="15" customFormat="false" ht="42" hidden="false" customHeight="true" outlineLevel="0" collapsed="false">
      <c r="A15" s="4" t="n">
        <v>11</v>
      </c>
      <c r="B15" s="5" t="s">
        <v>48</v>
      </c>
      <c r="C15" s="6" t="s">
        <v>49</v>
      </c>
      <c r="D15" s="7" t="s">
        <v>50</v>
      </c>
      <c r="E15" s="8" t="s">
        <v>51</v>
      </c>
      <c r="F15" s="16" t="n">
        <f aca="false">COUNTA(Sales_Data!F2:F16)</f>
        <v>13</v>
      </c>
    </row>
    <row r="16" customFormat="false" ht="42" hidden="false" customHeight="true" outlineLevel="0" collapsed="false">
      <c r="A16" s="10" t="n">
        <v>12</v>
      </c>
      <c r="B16" s="11" t="s">
        <v>52</v>
      </c>
      <c r="C16" s="12" t="s">
        <v>53</v>
      </c>
      <c r="D16" s="13" t="s">
        <v>54</v>
      </c>
      <c r="E16" s="14" t="s">
        <v>55</v>
      </c>
      <c r="F16" s="20" t="n">
        <f aca="false">COUNTBLANK(Sales_Data!D2:D16)</f>
        <v>2</v>
      </c>
    </row>
    <row r="17" customFormat="false" ht="42" hidden="false" customHeight="true" outlineLevel="0" collapsed="false">
      <c r="A17" s="4" t="n">
        <v>13</v>
      </c>
      <c r="B17" s="5" t="s">
        <v>56</v>
      </c>
      <c r="C17" s="6" t="s">
        <v>57</v>
      </c>
      <c r="D17" s="7" t="s">
        <v>58</v>
      </c>
      <c r="E17" s="8" t="s">
        <v>59</v>
      </c>
      <c r="F17" s="21" t="n">
        <f aca="false">(COUNTIF(Student_Marks!B2:B13,"&gt;=40")/COUNT(Student_Marks!B2:B13))*100</f>
        <v>75</v>
      </c>
    </row>
    <row r="18" customFormat="false" ht="42" hidden="false" customHeight="true" outlineLevel="0" collapsed="false">
      <c r="A18" s="10" t="n">
        <v>14</v>
      </c>
      <c r="B18" s="11" t="s">
        <v>60</v>
      </c>
      <c r="C18" s="12" t="s">
        <v>61</v>
      </c>
      <c r="D18" s="13" t="s">
        <v>62</v>
      </c>
      <c r="E18" s="14" t="s">
        <v>63</v>
      </c>
      <c r="F18" s="20" t="n">
        <f aca="false">COUNTIFS(Sales_Data!B2:B16,"Amazon",Sales_Data!C2:C16,"Delhi")</f>
        <v>3</v>
      </c>
    </row>
    <row r="19" customFormat="false" ht="42" hidden="false" customHeight="true" outlineLevel="0" collapsed="false">
      <c r="A19" s="4" t="n">
        <v>15</v>
      </c>
      <c r="B19" s="5" t="s">
        <v>64</v>
      </c>
      <c r="C19" s="6" t="s">
        <v>65</v>
      </c>
      <c r="D19" s="7" t="s">
        <v>66</v>
      </c>
      <c r="E19" s="8" t="s">
        <v>67</v>
      </c>
      <c r="F19" s="9" t="n">
        <f aca="false">SUMIFS(Sales_Data!D2:D16,Sales_Data!B2:B16,"Amazon",Sales_Data!C2:C16,"Delhi")</f>
        <v>2630</v>
      </c>
    </row>
    <row r="20" customFormat="false" ht="42" hidden="false" customHeight="true" outlineLevel="0" collapsed="false">
      <c r="A20" s="10" t="n">
        <v>16</v>
      </c>
      <c r="B20" s="11" t="s">
        <v>68</v>
      </c>
      <c r="C20" s="12" t="s">
        <v>69</v>
      </c>
      <c r="D20" s="13" t="s">
        <v>70</v>
      </c>
      <c r="E20" s="14" t="s">
        <v>71</v>
      </c>
      <c r="F20" s="17" t="n">
        <f aca="false">_xlfn.MAXIFS(Sales_Data!D2:D16,Sales_Data!B2:B16,"Amazon")</f>
        <v>2200</v>
      </c>
    </row>
    <row r="21" customFormat="false" ht="42" hidden="false" customHeight="true" outlineLevel="0" collapsed="false">
      <c r="A21" s="4" t="n">
        <v>17</v>
      </c>
      <c r="B21" s="5" t="s">
        <v>72</v>
      </c>
      <c r="C21" s="6" t="s">
        <v>73</v>
      </c>
      <c r="D21" s="7" t="s">
        <v>74</v>
      </c>
      <c r="E21" s="8" t="s">
        <v>75</v>
      </c>
      <c r="F21" s="9" t="n">
        <f aca="false">_xlfn.MINIFS(Sales_Data!D2:D16,Sales_Data!B2:B16,"Amazon")</f>
        <v>275</v>
      </c>
    </row>
    <row r="22" customFormat="false" ht="42" hidden="false" customHeight="true" outlineLevel="0" collapsed="false">
      <c r="A22" s="10" t="n">
        <v>18</v>
      </c>
      <c r="B22" s="11" t="s">
        <v>76</v>
      </c>
      <c r="C22" s="12" t="s">
        <v>77</v>
      </c>
      <c r="D22" s="13" t="s">
        <v>78</v>
      </c>
      <c r="E22" s="14" t="s">
        <v>79</v>
      </c>
      <c r="F22" s="20" t="n">
        <f aca="false">COUNTIF(Sales_Data!B2:B16,"A*")</f>
        <v>7</v>
      </c>
    </row>
    <row r="24" customFormat="false" ht="15" hidden="false" customHeight="false" outlineLevel="0" collapsed="false">
      <c r="A24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H1" s="2" t="s">
        <v>87</v>
      </c>
    </row>
    <row r="2" customFormat="false" ht="15" hidden="false" customHeight="false" outlineLevel="0" collapsed="false">
      <c r="A2" s="22" t="s">
        <v>88</v>
      </c>
      <c r="B2" s="22" t="s">
        <v>89</v>
      </c>
      <c r="C2" s="22" t="s">
        <v>90</v>
      </c>
      <c r="D2" s="23" t="n">
        <v>1200</v>
      </c>
      <c r="E2" s="22" t="n">
        <v>2</v>
      </c>
      <c r="F2" s="22" t="s">
        <v>91</v>
      </c>
    </row>
    <row r="3" customFormat="false" ht="15" hidden="false" customHeight="false" outlineLevel="0" collapsed="false">
      <c r="A3" s="22" t="s">
        <v>92</v>
      </c>
      <c r="B3" s="22" t="s">
        <v>93</v>
      </c>
      <c r="C3" s="22" t="s">
        <v>94</v>
      </c>
      <c r="D3" s="23" t="n">
        <v>850</v>
      </c>
      <c r="E3" s="22" t="n">
        <v>1</v>
      </c>
      <c r="F3" s="22" t="s">
        <v>91</v>
      </c>
    </row>
    <row r="4" customFormat="false" ht="15" hidden="false" customHeight="false" outlineLevel="0" collapsed="false">
      <c r="A4" s="22" t="s">
        <v>95</v>
      </c>
      <c r="B4" s="22" t="s">
        <v>89</v>
      </c>
      <c r="C4" s="22" t="s">
        <v>90</v>
      </c>
      <c r="D4" s="23" t="n">
        <v>450</v>
      </c>
      <c r="E4" s="22" t="n">
        <v>3</v>
      </c>
      <c r="F4" s="22" t="s">
        <v>96</v>
      </c>
    </row>
    <row r="5" customFormat="false" ht="15" hidden="false" customHeight="false" outlineLevel="0" collapsed="false">
      <c r="A5" s="22" t="s">
        <v>97</v>
      </c>
      <c r="B5" s="22" t="s">
        <v>98</v>
      </c>
      <c r="C5" s="22" t="s">
        <v>99</v>
      </c>
      <c r="D5" s="23" t="n">
        <v>1500</v>
      </c>
      <c r="E5" s="22" t="n">
        <v>1</v>
      </c>
      <c r="F5" s="22" t="s">
        <v>91</v>
      </c>
    </row>
    <row r="6" customFormat="false" ht="15" hidden="false" customHeight="false" outlineLevel="0" collapsed="false">
      <c r="A6" s="22" t="s">
        <v>100</v>
      </c>
      <c r="B6" s="22" t="s">
        <v>89</v>
      </c>
      <c r="C6" s="22" t="s">
        <v>94</v>
      </c>
      <c r="D6" s="23"/>
      <c r="E6" s="22" t="n">
        <v>2</v>
      </c>
      <c r="F6" s="22" t="s">
        <v>91</v>
      </c>
    </row>
    <row r="7" customFormat="false" ht="15" hidden="false" customHeight="false" outlineLevel="0" collapsed="false">
      <c r="A7" s="22" t="s">
        <v>101</v>
      </c>
      <c r="B7" s="22" t="s">
        <v>93</v>
      </c>
      <c r="C7" s="22" t="s">
        <v>90</v>
      </c>
      <c r="D7" s="23" t="n">
        <v>300</v>
      </c>
      <c r="E7" s="22" t="n">
        <v>4</v>
      </c>
      <c r="F7" s="22"/>
    </row>
    <row r="8" customFormat="false" ht="15" hidden="false" customHeight="false" outlineLevel="0" collapsed="false">
      <c r="A8" s="22" t="s">
        <v>102</v>
      </c>
      <c r="B8" s="22" t="s">
        <v>89</v>
      </c>
      <c r="C8" s="22" t="s">
        <v>99</v>
      </c>
      <c r="D8" s="23" t="n">
        <v>2200</v>
      </c>
      <c r="E8" s="22" t="n">
        <v>1</v>
      </c>
      <c r="F8" s="22" t="s">
        <v>91</v>
      </c>
    </row>
    <row r="9" customFormat="false" ht="15" hidden="false" customHeight="false" outlineLevel="0" collapsed="false">
      <c r="A9" s="22" t="s">
        <v>103</v>
      </c>
      <c r="B9" s="22" t="s">
        <v>98</v>
      </c>
      <c r="C9" s="22" t="s">
        <v>90</v>
      </c>
      <c r="D9" s="23" t="n">
        <v>650</v>
      </c>
      <c r="E9" s="22" t="n">
        <v>2</v>
      </c>
      <c r="F9" s="22" t="s">
        <v>91</v>
      </c>
    </row>
    <row r="10" customFormat="false" ht="15" hidden="false" customHeight="false" outlineLevel="0" collapsed="false">
      <c r="A10" s="22" t="s">
        <v>104</v>
      </c>
      <c r="B10" s="22" t="s">
        <v>93</v>
      </c>
      <c r="C10" s="22" t="s">
        <v>94</v>
      </c>
      <c r="D10" s="23"/>
      <c r="E10" s="22" t="n">
        <v>1</v>
      </c>
      <c r="F10" s="22" t="s">
        <v>96</v>
      </c>
    </row>
    <row r="11" customFormat="false" ht="15" hidden="false" customHeight="false" outlineLevel="0" collapsed="false">
      <c r="A11" s="22" t="s">
        <v>105</v>
      </c>
      <c r="B11" s="22" t="s">
        <v>89</v>
      </c>
      <c r="C11" s="22" t="s">
        <v>90</v>
      </c>
      <c r="D11" s="23" t="n">
        <v>980</v>
      </c>
      <c r="E11" s="22" t="n">
        <v>5</v>
      </c>
      <c r="F11" s="22" t="s">
        <v>91</v>
      </c>
    </row>
    <row r="12" customFormat="false" ht="15" hidden="false" customHeight="false" outlineLevel="0" collapsed="false">
      <c r="A12" s="22" t="s">
        <v>106</v>
      </c>
      <c r="B12" s="22" t="s">
        <v>98</v>
      </c>
      <c r="C12" s="22" t="s">
        <v>94</v>
      </c>
      <c r="D12" s="23" t="n">
        <v>400</v>
      </c>
      <c r="E12" s="22" t="n">
        <v>2</v>
      </c>
      <c r="F12" s="22"/>
    </row>
    <row r="13" customFormat="false" ht="15" hidden="false" customHeight="false" outlineLevel="0" collapsed="false">
      <c r="A13" s="22" t="s">
        <v>107</v>
      </c>
      <c r="B13" s="22" t="s">
        <v>89</v>
      </c>
      <c r="C13" s="22" t="s">
        <v>94</v>
      </c>
      <c r="D13" s="23" t="n">
        <v>1750</v>
      </c>
      <c r="E13" s="22" t="n">
        <v>1</v>
      </c>
      <c r="F13" s="22" t="s">
        <v>91</v>
      </c>
    </row>
    <row r="14" customFormat="false" ht="15" hidden="false" customHeight="false" outlineLevel="0" collapsed="false">
      <c r="A14" s="22" t="s">
        <v>108</v>
      </c>
      <c r="B14" s="22" t="s">
        <v>93</v>
      </c>
      <c r="C14" s="22" t="s">
        <v>99</v>
      </c>
      <c r="D14" s="23" t="n">
        <v>520</v>
      </c>
      <c r="E14" s="22" t="n">
        <v>3</v>
      </c>
      <c r="F14" s="22" t="s">
        <v>91</v>
      </c>
    </row>
    <row r="15" customFormat="false" ht="15" hidden="false" customHeight="false" outlineLevel="0" collapsed="false">
      <c r="A15" s="22" t="s">
        <v>109</v>
      </c>
      <c r="B15" s="22" t="s">
        <v>89</v>
      </c>
      <c r="C15" s="22" t="s">
        <v>99</v>
      </c>
      <c r="D15" s="23" t="n">
        <v>275</v>
      </c>
      <c r="E15" s="22" t="n">
        <v>2</v>
      </c>
      <c r="F15" s="22" t="s">
        <v>96</v>
      </c>
    </row>
    <row r="16" customFormat="false" ht="15" hidden="false" customHeight="false" outlineLevel="0" collapsed="false">
      <c r="A16" s="22" t="s">
        <v>110</v>
      </c>
      <c r="B16" s="22" t="s">
        <v>98</v>
      </c>
      <c r="C16" s="22" t="s">
        <v>90</v>
      </c>
      <c r="D16" s="23" t="n">
        <v>1100</v>
      </c>
      <c r="E16" s="22" t="n">
        <v>1</v>
      </c>
      <c r="F16" s="2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3" t="s">
        <v>111</v>
      </c>
      <c r="B1" s="3" t="s">
        <v>112</v>
      </c>
      <c r="C1" s="3" t="s">
        <v>113</v>
      </c>
      <c r="D1" s="3" t="s">
        <v>114</v>
      </c>
      <c r="F1" s="2" t="s">
        <v>115</v>
      </c>
    </row>
    <row r="2" customFormat="false" ht="15" hidden="false" customHeight="false" outlineLevel="0" collapsed="false">
      <c r="A2" s="22" t="s">
        <v>116</v>
      </c>
      <c r="B2" s="22" t="n">
        <v>78</v>
      </c>
      <c r="C2" s="24" t="str">
        <f aca="false">IF(B2&gt;=40,"Pass","Fail")</f>
        <v>Pass</v>
      </c>
      <c r="D2" s="24" t="str">
        <f aca="false">IF(B2&gt;=80,"A",IF(B2&gt;=60,"B","C"))</f>
        <v>B</v>
      </c>
    </row>
    <row r="3" customFormat="false" ht="15" hidden="false" customHeight="false" outlineLevel="0" collapsed="false">
      <c r="A3" s="22" t="s">
        <v>117</v>
      </c>
      <c r="B3" s="22" t="n">
        <v>35</v>
      </c>
      <c r="C3" s="24" t="str">
        <f aca="false">IF(B3&gt;=40,"Pass","Fail")</f>
        <v>Fail</v>
      </c>
      <c r="D3" s="24" t="str">
        <f aca="false">IF(B3&gt;=80,"A",IF(B3&gt;=60,"B","C"))</f>
        <v>C</v>
      </c>
    </row>
    <row r="4" customFormat="false" ht="15" hidden="false" customHeight="false" outlineLevel="0" collapsed="false">
      <c r="A4" s="22" t="s">
        <v>118</v>
      </c>
      <c r="B4" s="22" t="n">
        <v>62</v>
      </c>
      <c r="C4" s="24" t="str">
        <f aca="false">IF(B4&gt;=40,"Pass","Fail")</f>
        <v>Pass</v>
      </c>
      <c r="D4" s="24" t="str">
        <f aca="false">IF(B4&gt;=80,"A",IF(B4&gt;=60,"B","C"))</f>
        <v>B</v>
      </c>
    </row>
    <row r="5" customFormat="false" ht="15" hidden="false" customHeight="false" outlineLevel="0" collapsed="false">
      <c r="A5" s="22" t="s">
        <v>119</v>
      </c>
      <c r="B5" s="22" t="n">
        <v>91</v>
      </c>
      <c r="C5" s="24" t="str">
        <f aca="false">IF(B5&gt;=40,"Pass","Fail")</f>
        <v>Pass</v>
      </c>
      <c r="D5" s="24" t="str">
        <f aca="false">IF(B5&gt;=80,"A",IF(B5&gt;=60,"B","C"))</f>
        <v>A</v>
      </c>
    </row>
    <row r="6" customFormat="false" ht="15" hidden="false" customHeight="false" outlineLevel="0" collapsed="false">
      <c r="A6" s="22" t="s">
        <v>120</v>
      </c>
      <c r="B6" s="22" t="n">
        <v>40</v>
      </c>
      <c r="C6" s="24" t="str">
        <f aca="false">IF(B6&gt;=40,"Pass","Fail")</f>
        <v>Pass</v>
      </c>
      <c r="D6" s="24" t="str">
        <f aca="false">IF(B6&gt;=80,"A",IF(B6&gt;=60,"B","C"))</f>
        <v>C</v>
      </c>
    </row>
    <row r="7" customFormat="false" ht="15" hidden="false" customHeight="false" outlineLevel="0" collapsed="false">
      <c r="A7" s="22" t="s">
        <v>121</v>
      </c>
      <c r="B7" s="22" t="n">
        <v>28</v>
      </c>
      <c r="C7" s="24" t="str">
        <f aca="false">IF(B7&gt;=40,"Pass","Fail")</f>
        <v>Fail</v>
      </c>
      <c r="D7" s="24" t="str">
        <f aca="false">IF(B7&gt;=80,"A",IF(B7&gt;=60,"B","C"))</f>
        <v>C</v>
      </c>
    </row>
    <row r="8" customFormat="false" ht="15" hidden="false" customHeight="false" outlineLevel="0" collapsed="false">
      <c r="A8" s="22" t="s">
        <v>122</v>
      </c>
      <c r="B8" s="22" t="n">
        <v>55</v>
      </c>
      <c r="C8" s="24" t="str">
        <f aca="false">IF(B8&gt;=40,"Pass","Fail")</f>
        <v>Pass</v>
      </c>
      <c r="D8" s="24" t="str">
        <f aca="false">IF(B8&gt;=80,"A",IF(B8&gt;=60,"B","C"))</f>
        <v>C</v>
      </c>
    </row>
    <row r="9" customFormat="false" ht="15" hidden="false" customHeight="false" outlineLevel="0" collapsed="false">
      <c r="A9" s="22" t="s">
        <v>123</v>
      </c>
      <c r="B9" s="22" t="n">
        <v>83</v>
      </c>
      <c r="C9" s="24" t="str">
        <f aca="false">IF(B9&gt;=40,"Pass","Fail")</f>
        <v>Pass</v>
      </c>
      <c r="D9" s="24" t="str">
        <f aca="false">IF(B9&gt;=80,"A",IF(B9&gt;=60,"B","C"))</f>
        <v>A</v>
      </c>
    </row>
    <row r="10" customFormat="false" ht="15" hidden="false" customHeight="false" outlineLevel="0" collapsed="false">
      <c r="A10" s="22" t="s">
        <v>124</v>
      </c>
      <c r="B10" s="22" t="n">
        <v>47</v>
      </c>
      <c r="C10" s="24" t="str">
        <f aca="false">IF(B10&gt;=40,"Pass","Fail")</f>
        <v>Pass</v>
      </c>
      <c r="D10" s="24" t="str">
        <f aca="false">IF(B10&gt;=80,"A",IF(B10&gt;=60,"B","C"))</f>
        <v>C</v>
      </c>
    </row>
    <row r="11" customFormat="false" ht="15" hidden="false" customHeight="false" outlineLevel="0" collapsed="false">
      <c r="A11" s="22" t="s">
        <v>125</v>
      </c>
      <c r="B11" s="22" t="n">
        <v>66</v>
      </c>
      <c r="C11" s="24" t="str">
        <f aca="false">IF(B11&gt;=40,"Pass","Fail")</f>
        <v>Pass</v>
      </c>
      <c r="D11" s="24" t="str">
        <f aca="false">IF(B11&gt;=80,"A",IF(B11&gt;=60,"B","C"))</f>
        <v>B</v>
      </c>
    </row>
    <row r="12" customFormat="false" ht="15" hidden="false" customHeight="false" outlineLevel="0" collapsed="false">
      <c r="A12" s="22" t="s">
        <v>126</v>
      </c>
      <c r="B12" s="22" t="n">
        <v>39</v>
      </c>
      <c r="C12" s="24" t="str">
        <f aca="false">IF(B12&gt;=40,"Pass","Fail")</f>
        <v>Fail</v>
      </c>
      <c r="D12" s="24" t="str">
        <f aca="false">IF(B12&gt;=80,"A",IF(B12&gt;=60,"B","C"))</f>
        <v>C</v>
      </c>
    </row>
    <row r="13" customFormat="false" ht="15" hidden="false" customHeight="false" outlineLevel="0" collapsed="false">
      <c r="A13" s="22" t="s">
        <v>127</v>
      </c>
      <c r="B13" s="22" t="n">
        <v>72</v>
      </c>
      <c r="C13" s="24" t="str">
        <f aca="false">IF(B13&gt;=40,"Pass","Fail")</f>
        <v>Pass</v>
      </c>
      <c r="D13" s="24" t="str">
        <f aca="false">IF(B13&gt;=80,"A",IF(B13&gt;=60,"B","C"))</f>
        <v>B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25" t="s">
        <v>82</v>
      </c>
      <c r="B4" s="26" t="s">
        <v>89</v>
      </c>
    </row>
    <row r="5" customFormat="false" ht="15" hidden="false" customHeight="false" outlineLevel="0" collapsed="false">
      <c r="A5" s="25" t="s">
        <v>83</v>
      </c>
      <c r="B5" s="26" t="s">
        <v>90</v>
      </c>
    </row>
    <row r="6" customFormat="false" ht="15" hidden="false" customHeight="false" outlineLevel="0" collapsed="false">
      <c r="A6" s="25" t="s">
        <v>130</v>
      </c>
      <c r="B6" s="26" t="n">
        <v>500</v>
      </c>
    </row>
    <row r="8" customFormat="false" ht="15" hidden="false" customHeight="false" outlineLevel="0" collapsed="false">
      <c r="A8" s="3" t="s">
        <v>131</v>
      </c>
      <c r="B8" s="3" t="s">
        <v>132</v>
      </c>
    </row>
    <row r="9" customFormat="false" ht="15" hidden="false" customHeight="false" outlineLevel="0" collapsed="false">
      <c r="A9" s="7" t="s">
        <v>133</v>
      </c>
      <c r="B9" s="16" t="n">
        <f aca="false">COUNTIF(Sales_Data!B2:B16,B4)</f>
        <v>7</v>
      </c>
    </row>
    <row r="10" customFormat="false" ht="15" hidden="false" customHeight="false" outlineLevel="0" collapsed="false">
      <c r="A10" s="7" t="s">
        <v>134</v>
      </c>
      <c r="B10" s="9" t="n">
        <f aca="false">SUMIF(Sales_Data!B2:B16,B4,Sales_Data!D2:D16)</f>
        <v>6855</v>
      </c>
    </row>
    <row r="11" customFormat="false" ht="15" hidden="false" customHeight="false" outlineLevel="0" collapsed="false">
      <c r="A11" s="7" t="s">
        <v>135</v>
      </c>
      <c r="B11" s="9" t="n">
        <f aca="false">_xlfn.MAXIFS(Sales_Data!D2:D16,Sales_Data!B2:B16,B4)</f>
        <v>2200</v>
      </c>
    </row>
    <row r="12" customFormat="false" ht="15" hidden="false" customHeight="false" outlineLevel="0" collapsed="false">
      <c r="A12" s="7" t="s">
        <v>136</v>
      </c>
      <c r="B12" s="9" t="n">
        <f aca="false">_xlfn.MINIFS(Sales_Data!D2:D16,Sales_Data!B2:B16,B4)</f>
        <v>275</v>
      </c>
    </row>
    <row r="13" customFormat="false" ht="15" hidden="false" customHeight="false" outlineLevel="0" collapsed="false">
      <c r="A13" s="7" t="s">
        <v>137</v>
      </c>
      <c r="B13" s="16" t="n">
        <f aca="false">COUNTIFS(Sales_Data!B2:B16,B4,Sales_Data!C2:C16,B5)</f>
        <v>3</v>
      </c>
    </row>
    <row r="14" customFormat="false" ht="15" hidden="false" customHeight="false" outlineLevel="0" collapsed="false">
      <c r="A14" s="7" t="s">
        <v>138</v>
      </c>
      <c r="B14" s="16" t="n">
        <f aca="false">COUNTIFS(Sales_Data!B2:B16,B4,Sales_Data!C2:C16,B5,Sales_Data!D2:D16,"&gt;"&amp;B6)</f>
        <v>2</v>
      </c>
    </row>
    <row r="15" customFormat="false" ht="15" hidden="false" customHeight="false" outlineLevel="0" collapsed="false">
      <c r="A15" s="7" t="s">
        <v>139</v>
      </c>
      <c r="B15" s="9" t="n">
        <f aca="false">SUMIFS(Sales_Data!D2:D16,Sales_Data!B2:B16,B4,Sales_Data!C2:C16,B5)</f>
        <v>2630</v>
      </c>
    </row>
    <row r="16" customFormat="false" ht="15" hidden="false" customHeight="false" outlineLevel="0" collapsed="false">
      <c r="A16" s="7" t="s">
        <v>140</v>
      </c>
      <c r="B16" s="27" t="n">
        <f aca="false">COUNTIF(Sales_Data!B2:B16,B4)/COUNTA(Sales_Data!A2:A16)</f>
        <v>0.466666666666667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6" min="5" style="0" width="3"/>
    <col collapsed="false" customWidth="true" hidden="false" outlineLevel="0" max="8" min="7" style="0" width="10"/>
    <col collapsed="false" customWidth="true" hidden="false" outlineLevel="0" max="10" min="9" style="0" width="3"/>
    <col collapsed="false" customWidth="true" hidden="false" outlineLevel="0" max="12" min="11" style="0" width="10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15" hidden="false" customHeight="false" outlineLevel="0" collapsed="false">
      <c r="C4" s="3" t="s">
        <v>84</v>
      </c>
      <c r="D4" s="3" t="s">
        <v>82</v>
      </c>
      <c r="G4" s="3" t="s">
        <v>84</v>
      </c>
      <c r="H4" s="3" t="s">
        <v>82</v>
      </c>
      <c r="K4" s="3" t="s">
        <v>84</v>
      </c>
      <c r="L4" s="3" t="s">
        <v>82</v>
      </c>
    </row>
    <row r="5" customFormat="false" ht="15" hidden="false" customHeight="false" outlineLevel="0" collapsed="false">
      <c r="C5" s="22" t="n">
        <v>120</v>
      </c>
      <c r="D5" s="22" t="s">
        <v>89</v>
      </c>
      <c r="G5" s="22" t="n">
        <v>300</v>
      </c>
      <c r="H5" s="22" t="s">
        <v>93</v>
      </c>
      <c r="K5" s="22" t="n">
        <v>450</v>
      </c>
      <c r="L5" s="22" t="s">
        <v>89</v>
      </c>
    </row>
    <row r="6" customFormat="false" ht="15" hidden="false" customHeight="false" outlineLevel="0" collapsed="false">
      <c r="C6" s="22" t="n">
        <v>340</v>
      </c>
      <c r="D6" s="22" t="s">
        <v>93</v>
      </c>
      <c r="G6" s="22" t="n">
        <v>720</v>
      </c>
      <c r="H6" s="22" t="s">
        <v>89</v>
      </c>
      <c r="K6" s="22" t="n">
        <v>190</v>
      </c>
      <c r="L6" s="22" t="s">
        <v>98</v>
      </c>
    </row>
    <row r="7" customFormat="false" ht="15" hidden="false" customHeight="false" outlineLevel="0" collapsed="false">
      <c r="C7" s="22" t="n">
        <v>560</v>
      </c>
      <c r="D7" s="22" t="s">
        <v>89</v>
      </c>
      <c r="G7" s="22" t="n">
        <v>410</v>
      </c>
      <c r="H7" s="22" t="s">
        <v>98</v>
      </c>
      <c r="K7" s="22" t="n">
        <v>840</v>
      </c>
      <c r="L7" s="22" t="s">
        <v>89</v>
      </c>
    </row>
    <row r="8" customFormat="false" ht="15" hidden="false" customHeight="false" outlineLevel="0" collapsed="false">
      <c r="C8" s="22" t="n">
        <v>210</v>
      </c>
      <c r="D8" s="22" t="s">
        <v>98</v>
      </c>
      <c r="G8" s="22" t="n">
        <v>980</v>
      </c>
      <c r="H8" s="22" t="s">
        <v>93</v>
      </c>
      <c r="K8" s="22" t="n">
        <v>370</v>
      </c>
      <c r="L8" s="22" t="s">
        <v>93</v>
      </c>
    </row>
    <row r="9" customFormat="false" ht="15" hidden="false" customHeight="false" outlineLevel="0" collapsed="false">
      <c r="C9" s="22" t="n">
        <v>890</v>
      </c>
      <c r="D9" s="22" t="s">
        <v>93</v>
      </c>
      <c r="G9" s="22" t="n">
        <v>150</v>
      </c>
      <c r="H9" s="22" t="s">
        <v>89</v>
      </c>
      <c r="K9" s="22" t="n">
        <v>1020</v>
      </c>
      <c r="L9" s="22" t="s">
        <v>98</v>
      </c>
    </row>
    <row r="10" customFormat="false" ht="15" hidden="false" customHeight="false" outlineLevel="0" collapsed="false">
      <c r="C10" s="22" t="n">
        <v>430</v>
      </c>
      <c r="D10" s="22" t="s">
        <v>89</v>
      </c>
      <c r="G10" s="22" t="n">
        <v>530</v>
      </c>
      <c r="H10" s="22" t="s">
        <v>89</v>
      </c>
      <c r="K10" s="22" t="n">
        <v>260</v>
      </c>
      <c r="L10" s="22" t="s">
        <v>89</v>
      </c>
    </row>
    <row r="11" customFormat="false" ht="15" hidden="false" customHeight="false" outlineLevel="0" collapsed="false">
      <c r="C11" s="22" t="n">
        <v>150</v>
      </c>
      <c r="D11" s="22" t="s">
        <v>98</v>
      </c>
      <c r="G11" s="22" t="n">
        <v>610</v>
      </c>
      <c r="H11" s="22" t="s">
        <v>98</v>
      </c>
      <c r="K11" s="22" t="n">
        <v>730</v>
      </c>
      <c r="L11" s="22" t="s">
        <v>93</v>
      </c>
    </row>
    <row r="12" customFormat="false" ht="15" hidden="false" customHeight="false" outlineLevel="0" collapsed="false">
      <c r="C12" s="22" t="n">
        <v>670</v>
      </c>
      <c r="D12" s="22" t="s">
        <v>93</v>
      </c>
      <c r="G12" s="22" t="n">
        <v>260</v>
      </c>
      <c r="H12" s="22" t="s">
        <v>89</v>
      </c>
      <c r="K12" s="22" t="n">
        <v>480</v>
      </c>
      <c r="L12" s="22" t="s">
        <v>89</v>
      </c>
    </row>
    <row r="14" customFormat="false" ht="15" hidden="false" customHeight="false" outlineLevel="0" collapsed="false">
      <c r="B14" s="5" t="s">
        <v>143</v>
      </c>
      <c r="C14" s="28" t="n">
        <f aca="false">_xlfn.MAXIFS(C5:C12,D5:D12,"Amazon")</f>
        <v>560</v>
      </c>
    </row>
    <row r="15" customFormat="false" ht="15" hidden="false" customHeight="false" outlineLevel="0" collapsed="false">
      <c r="B15" s="5" t="s">
        <v>144</v>
      </c>
      <c r="C15" s="28" t="n">
        <f aca="false">_xlfn.MAXIFS(G5:G12,H5:H12,"Amazon")</f>
        <v>720</v>
      </c>
    </row>
    <row r="16" customFormat="false" ht="15" hidden="false" customHeight="false" outlineLevel="0" collapsed="false">
      <c r="B16" s="5" t="s">
        <v>145</v>
      </c>
      <c r="C16" s="28" t="n">
        <f aca="false">_xlfn.MAXIFS(K5:K12,L5:L12,"Amazon")</f>
        <v>840</v>
      </c>
    </row>
    <row r="17" customFormat="false" ht="15" hidden="false" customHeight="false" outlineLevel="0" collapsed="false">
      <c r="B17" s="5" t="s">
        <v>146</v>
      </c>
      <c r="C17" s="29" t="n">
        <f aca="false">MAX(_xlfn.MAXIFS(C5:C12,D5:D12,"Amazon"),_xlfn.MAXIFS(G5:G12,H5:H12,"Amazon"),_xlfn.MAXIFS(K5:K12,L5:L12,"Amazon"))</f>
        <v>840</v>
      </c>
    </row>
    <row r="19" customFormat="false" ht="15" hidden="false" customHeight="false" outlineLevel="0" collapsed="false">
      <c r="B19" s="25" t="s">
        <v>147</v>
      </c>
      <c r="C19" s="26" t="s">
        <v>89</v>
      </c>
    </row>
    <row r="20" customFormat="false" ht="15" hidden="false" customHeight="false" outlineLevel="0" collapsed="false">
      <c r="B20" s="5" t="s">
        <v>148</v>
      </c>
      <c r="C20" s="29" t="n">
        <f aca="false">MAX(_xlfn.MAXIFS(C5:C12,D5:D12,C19),_xlfn.MAXIFS(G5:G12,H5:H12,C19),_xlfn.MAXIFS(K5:K12,L5:L12,C19))</f>
        <v>840</v>
      </c>
    </row>
    <row r="22" customFormat="false" ht="15" hidden="false" customHeight="false" outlineLevel="0" collapsed="false">
      <c r="B22" s="2" t="s">
        <v>149</v>
      </c>
    </row>
    <row r="23" customFormat="false" ht="15" hidden="false" customHeight="false" outlineLevel="0" collapsed="false">
      <c r="B23" s="30" t="s">
        <v>150</v>
      </c>
    </row>
    <row r="24" customFormat="false" ht="15" hidden="false" customHeight="false" outlineLevel="0" collapsed="false">
      <c r="B24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15" hidden="false" customHeight="false" outlineLevel="0" collapsed="false">
      <c r="A4" s="3" t="s">
        <v>2</v>
      </c>
      <c r="B4" s="3" t="s">
        <v>154</v>
      </c>
      <c r="C4" s="3" t="s">
        <v>155</v>
      </c>
      <c r="D4" s="3" t="s">
        <v>156</v>
      </c>
    </row>
    <row r="5" customFormat="false" ht="30" hidden="false" customHeight="true" outlineLevel="0" collapsed="false">
      <c r="A5" s="4" t="n">
        <v>1</v>
      </c>
      <c r="B5" s="7" t="s">
        <v>157</v>
      </c>
      <c r="C5" s="31"/>
      <c r="D5" s="19" t="str">
        <f aca="false">IF(C5="","",IFERROR(IF(ISNUMBER(Answer_Key!D4),IF(ROUND(C5,2)=ROUND(Answer_Key!D4,2),"Correct","Try again"),IF(C5=Answer_Key!D4,"Correct","Try again")),"Try again"))</f>
        <v/>
      </c>
    </row>
    <row r="6" customFormat="false" ht="30" hidden="false" customHeight="true" outlineLevel="0" collapsed="false">
      <c r="A6" s="4" t="n">
        <v>2</v>
      </c>
      <c r="B6" s="7" t="s">
        <v>158</v>
      </c>
      <c r="C6" s="31"/>
      <c r="D6" s="19" t="str">
        <f aca="false">IF(C6="","",IFERROR(IF(ISNUMBER(Answer_Key!D5),IF(ROUND(C6,2)=ROUND(Answer_Key!D5,2),"Correct","Try again"),IF(C6=Answer_Key!D5,"Correct","Try again")),"Try again"))</f>
        <v/>
      </c>
    </row>
    <row r="7" customFormat="false" ht="30" hidden="false" customHeight="true" outlineLevel="0" collapsed="false">
      <c r="A7" s="4" t="n">
        <v>3</v>
      </c>
      <c r="B7" s="7" t="s">
        <v>159</v>
      </c>
      <c r="C7" s="31"/>
      <c r="D7" s="19" t="str">
        <f aca="false">IF(C7="","",IFERROR(IF(ISNUMBER(Answer_Key!D6),IF(ROUND(C7,2)=ROUND(Answer_Key!D6,2),"Correct","Try again"),IF(C7=Answer_Key!D6,"Correct","Try again")),"Try again"))</f>
        <v/>
      </c>
    </row>
    <row r="8" customFormat="false" ht="30" hidden="false" customHeight="true" outlineLevel="0" collapsed="false">
      <c r="A8" s="4" t="n">
        <v>4</v>
      </c>
      <c r="B8" s="7" t="s">
        <v>160</v>
      </c>
      <c r="C8" s="31"/>
      <c r="D8" s="19" t="str">
        <f aca="false">IF(C8="","",IFERROR(IF(ISNUMBER(Answer_Key!D7),IF(ROUND(C8,2)=ROUND(Answer_Key!D7,2),"Correct","Try again"),IF(C8=Answer_Key!D7,"Correct","Try again")),"Try again"))</f>
        <v/>
      </c>
    </row>
    <row r="9" customFormat="false" ht="30" hidden="false" customHeight="true" outlineLevel="0" collapsed="false">
      <c r="A9" s="4" t="n">
        <v>5</v>
      </c>
      <c r="B9" s="7" t="s">
        <v>161</v>
      </c>
      <c r="C9" s="31"/>
      <c r="D9" s="19" t="str">
        <f aca="false">IF(C9="","",IFERROR(IF(ISNUMBER(Answer_Key!D8),IF(ROUND(C9,2)=ROUND(Answer_Key!D8,2),"Correct","Try again"),IF(C9=Answer_Key!D8,"Correct","Try again")),"Try again"))</f>
        <v/>
      </c>
    </row>
    <row r="10" customFormat="false" ht="30" hidden="false" customHeight="true" outlineLevel="0" collapsed="false">
      <c r="A10" s="4" t="n">
        <v>6</v>
      </c>
      <c r="B10" s="7" t="s">
        <v>162</v>
      </c>
      <c r="C10" s="31"/>
      <c r="D10" s="19" t="str">
        <f aca="false">IF(C10="","",IFERROR(IF(ISNUMBER(Answer_Key!D9),IF(ROUND(C10,2)=ROUND(Answer_Key!D9,2),"Correct","Try again"),IF(C10=Answer_Key!D9,"Correct","Try again")),"Try again"))</f>
        <v/>
      </c>
    </row>
    <row r="11" customFormat="false" ht="30" hidden="false" customHeight="true" outlineLevel="0" collapsed="false">
      <c r="A11" s="4" t="n">
        <v>7</v>
      </c>
      <c r="B11" s="7" t="s">
        <v>163</v>
      </c>
      <c r="C11" s="31"/>
      <c r="D11" s="19" t="str">
        <f aca="false">IF(C11="","",IFERROR(IF(ISNUMBER(Answer_Key!D10),IF(ROUND(C11,2)=ROUND(Answer_Key!D10,2),"Correct","Try again"),IF(C11=Answer_Key!D10,"Correct","Try again")),"Try again"))</f>
        <v/>
      </c>
    </row>
    <row r="12" customFormat="false" ht="30" hidden="false" customHeight="true" outlineLevel="0" collapsed="false">
      <c r="A12" s="4" t="n">
        <v>8</v>
      </c>
      <c r="B12" s="7" t="s">
        <v>164</v>
      </c>
      <c r="C12" s="31"/>
      <c r="D12" s="19" t="str">
        <f aca="false">IF(C12="","",IFERROR(IF(ISNUMBER(Answer_Key!D11),IF(ROUND(C12,2)=ROUND(Answer_Key!D11,2),"Correct","Try again"),IF(C12=Answer_Key!D11,"Correct","Try again")),"Try again"))</f>
        <v/>
      </c>
    </row>
    <row r="13" customFormat="false" ht="30" hidden="false" customHeight="true" outlineLevel="0" collapsed="false">
      <c r="A13" s="4" t="n">
        <v>9</v>
      </c>
      <c r="B13" s="7" t="s">
        <v>165</v>
      </c>
      <c r="C13" s="31"/>
      <c r="D13" s="19" t="str">
        <f aca="false">IF(C13="","",IFERROR(IF(ISNUMBER(Answer_Key!D12),IF(ROUND(C13,2)=ROUND(Answer_Key!D12,2),"Correct","Try again"),IF(C13=Answer_Key!D12,"Correct","Try again")),"Try again"))</f>
        <v/>
      </c>
    </row>
    <row r="14" customFormat="false" ht="30" hidden="false" customHeight="true" outlineLevel="0" collapsed="false">
      <c r="A14" s="4" t="n">
        <v>10</v>
      </c>
      <c r="B14" s="7" t="s">
        <v>166</v>
      </c>
      <c r="C14" s="31"/>
      <c r="D14" s="19" t="str">
        <f aca="false">IF(C14="","",IFERROR(IF(ISNUMBER(Answer_Key!D13),IF(ROUND(C14,2)=ROUND(Answer_Key!D13,2),"Correct","Try again"),IF(C14=Answer_Key!D13,"Correct","Try again")),"Try again"))</f>
        <v/>
      </c>
    </row>
    <row r="15" customFormat="false" ht="30" hidden="false" customHeight="true" outlineLevel="0" collapsed="false">
      <c r="A15" s="4" t="n">
        <v>11</v>
      </c>
      <c r="B15" s="7" t="s">
        <v>167</v>
      </c>
      <c r="C15" s="31"/>
      <c r="D15" s="19" t="str">
        <f aca="false">IF(C15="","",IFERROR(IF(ISNUMBER(Answer_Key!D14),IF(ROUND(C15,2)=ROUND(Answer_Key!D14,2),"Correct","Try again"),IF(C15=Answer_Key!D14,"Correct","Try again")),"Try again"))</f>
        <v/>
      </c>
    </row>
    <row r="16" customFormat="false" ht="30" hidden="false" customHeight="true" outlineLevel="0" collapsed="false">
      <c r="A16" s="4" t="n">
        <v>12</v>
      </c>
      <c r="B16" s="7" t="s">
        <v>168</v>
      </c>
      <c r="C16" s="31"/>
      <c r="D16" s="19" t="str">
        <f aca="false">IF(C16="","",IFERROR(IF(ISNUMBER(Answer_Key!D15),IF(ROUND(C16,2)=ROUND(Answer_Key!D15,2),"Correct","Try again"),IF(C16=Answer_Key!D15,"Correct","Try again")),"Try again"))</f>
        <v/>
      </c>
    </row>
    <row r="17" customFormat="false" ht="30" hidden="false" customHeight="true" outlineLevel="0" collapsed="false">
      <c r="A17" s="4" t="n">
        <v>13</v>
      </c>
      <c r="B17" s="7" t="s">
        <v>169</v>
      </c>
      <c r="C17" s="31"/>
      <c r="D17" s="19" t="str">
        <f aca="false">IF(C17="","",IFERROR(IF(ISNUMBER(Answer_Key!D16),IF(ROUND(C17,2)=ROUND(Answer_Key!D16,2),"Correct","Try again"),IF(C17=Answer_Key!D16,"Correct","Try again")),"Try again"))</f>
        <v/>
      </c>
    </row>
    <row r="18" customFormat="false" ht="30" hidden="false" customHeight="true" outlineLevel="0" collapsed="false">
      <c r="A18" s="4" t="n">
        <v>14</v>
      </c>
      <c r="B18" s="7" t="s">
        <v>170</v>
      </c>
      <c r="C18" s="31"/>
      <c r="D18" s="19" t="str">
        <f aca="false">IF(C18="","",IFERROR(IF(ISNUMBER(Answer_Key!D17),IF(ROUND(C18,2)=ROUND(Answer_Key!D17,2),"Correct","Try again"),IF(C18=Answer_Key!D17,"Correct","Try again")),"Try again"))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171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172</v>
      </c>
      <c r="D3" s="3" t="s">
        <v>132</v>
      </c>
    </row>
    <row r="4" customFormat="false" ht="30" hidden="false" customHeight="true" outlineLevel="0" collapsed="false">
      <c r="A4" s="4" t="n">
        <v>1</v>
      </c>
      <c r="B4" s="25" t="s">
        <v>8</v>
      </c>
      <c r="C4" s="8" t="s">
        <v>11</v>
      </c>
      <c r="D4" s="19" t="n">
        <f aca="false">SUM(Sales_Data!D2:D16)</f>
        <v>12175</v>
      </c>
    </row>
    <row r="5" customFormat="false" ht="30" hidden="false" customHeight="true" outlineLevel="0" collapsed="false">
      <c r="A5" s="4" t="n">
        <v>2</v>
      </c>
      <c r="B5" s="25" t="s">
        <v>12</v>
      </c>
      <c r="C5" s="8" t="s">
        <v>15</v>
      </c>
      <c r="D5" s="19" t="n">
        <f aca="false">AVERAGE(Sales_Data!D2:D16)</f>
        <v>936.538461538462</v>
      </c>
    </row>
    <row r="6" customFormat="false" ht="30" hidden="false" customHeight="true" outlineLevel="0" collapsed="false">
      <c r="A6" s="4" t="n">
        <v>3</v>
      </c>
      <c r="B6" s="25" t="s">
        <v>16</v>
      </c>
      <c r="C6" s="8" t="s">
        <v>19</v>
      </c>
      <c r="D6" s="19" t="n">
        <f aca="false">COUNT(Sales_Data!D2:D16)</f>
        <v>13</v>
      </c>
    </row>
    <row r="7" customFormat="false" ht="30" hidden="false" customHeight="true" outlineLevel="0" collapsed="false">
      <c r="A7" s="4" t="n">
        <v>4</v>
      </c>
      <c r="B7" s="25" t="s">
        <v>20</v>
      </c>
      <c r="C7" s="8" t="s">
        <v>23</v>
      </c>
      <c r="D7" s="19" t="n">
        <f aca="false">MAX(Sales_Data!D2:D16)</f>
        <v>2200</v>
      </c>
    </row>
    <row r="8" customFormat="false" ht="30" hidden="false" customHeight="true" outlineLevel="0" collapsed="false">
      <c r="A8" s="4" t="n">
        <v>5</v>
      </c>
      <c r="B8" s="25" t="s">
        <v>24</v>
      </c>
      <c r="C8" s="8" t="s">
        <v>27</v>
      </c>
      <c r="D8" s="19" t="n">
        <f aca="false">MIN(Sales_Data!D2:D16)</f>
        <v>275</v>
      </c>
    </row>
    <row r="9" customFormat="false" ht="30" hidden="false" customHeight="true" outlineLevel="0" collapsed="false">
      <c r="A9" s="4" t="n">
        <v>6</v>
      </c>
      <c r="B9" s="25" t="s">
        <v>52</v>
      </c>
      <c r="C9" s="8" t="s">
        <v>55</v>
      </c>
      <c r="D9" s="19" t="n">
        <f aca="false">COUNTBLANK(Sales_Data!D2:D16)</f>
        <v>2</v>
      </c>
    </row>
    <row r="10" customFormat="false" ht="30" hidden="false" customHeight="true" outlineLevel="0" collapsed="false">
      <c r="A10" s="4" t="n">
        <v>7</v>
      </c>
      <c r="B10" s="25" t="s">
        <v>48</v>
      </c>
      <c r="C10" s="8" t="s">
        <v>51</v>
      </c>
      <c r="D10" s="19" t="n">
        <f aca="false">COUNTA(Sales_Data!F2:F16)</f>
        <v>13</v>
      </c>
    </row>
    <row r="11" customFormat="false" ht="30" hidden="false" customHeight="true" outlineLevel="0" collapsed="false">
      <c r="A11" s="4" t="n">
        <v>8</v>
      </c>
      <c r="B11" s="25" t="s">
        <v>36</v>
      </c>
      <c r="C11" s="8" t="s">
        <v>173</v>
      </c>
      <c r="D11" s="19" t="n">
        <f aca="false">COUNTIF(Sales_Data!B2:B16,"Amazon")</f>
        <v>7</v>
      </c>
    </row>
    <row r="12" customFormat="false" ht="30" hidden="false" customHeight="true" outlineLevel="0" collapsed="false">
      <c r="A12" s="4" t="n">
        <v>9</v>
      </c>
      <c r="B12" s="25" t="s">
        <v>174</v>
      </c>
      <c r="C12" s="8" t="s">
        <v>47</v>
      </c>
      <c r="D12" s="19" t="n">
        <f aca="false">SUMIF(Sales_Data!B2:B16,"Amazon",Sales_Data!D2:D16)</f>
        <v>6855</v>
      </c>
    </row>
    <row r="13" customFormat="false" ht="30" hidden="false" customHeight="true" outlineLevel="0" collapsed="false">
      <c r="A13" s="4" t="n">
        <v>10</v>
      </c>
      <c r="B13" s="25" t="s">
        <v>68</v>
      </c>
      <c r="C13" s="8" t="s">
        <v>71</v>
      </c>
      <c r="D13" s="19" t="n">
        <f aca="false">_xlfn.MAXIFS(Sales_Data!D2:D16,Sales_Data!B2:B16,"Amazon")</f>
        <v>2200</v>
      </c>
    </row>
    <row r="14" customFormat="false" ht="30" hidden="false" customHeight="true" outlineLevel="0" collapsed="false">
      <c r="A14" s="4" t="n">
        <v>11</v>
      </c>
      <c r="B14" s="25" t="s">
        <v>60</v>
      </c>
      <c r="C14" s="8" t="s">
        <v>175</v>
      </c>
      <c r="D14" s="19" t="n">
        <f aca="false">COUNTIFS(Sales_Data!B2:B16,"Amazon",Sales_Data!C2:C16,"Delhi",Sales_Data!D2:D16,"&gt;500")</f>
        <v>2</v>
      </c>
    </row>
    <row r="15" customFormat="false" ht="30" hidden="false" customHeight="true" outlineLevel="0" collapsed="false">
      <c r="A15" s="4" t="n">
        <v>12</v>
      </c>
      <c r="B15" s="25" t="s">
        <v>56</v>
      </c>
      <c r="C15" s="8" t="s">
        <v>59</v>
      </c>
      <c r="D15" s="19" t="n">
        <f aca="false">(COUNTIF(Student_Marks!B2:B13,"&gt;=40")/COUNT(Student_Marks!B2:B13))*100</f>
        <v>75</v>
      </c>
    </row>
    <row r="16" customFormat="false" ht="30" hidden="false" customHeight="true" outlineLevel="0" collapsed="false">
      <c r="A16" s="4" t="n">
        <v>13</v>
      </c>
      <c r="B16" s="25" t="s">
        <v>28</v>
      </c>
      <c r="C16" s="8" t="s">
        <v>176</v>
      </c>
      <c r="D16" s="19" t="str">
        <f aca="false">IF(Student_Marks!B2&gt;=40,"Pass","Fail")</f>
        <v>Pass</v>
      </c>
    </row>
    <row r="17" customFormat="false" ht="30" hidden="false" customHeight="true" outlineLevel="0" collapsed="false">
      <c r="A17" s="4" t="n">
        <v>14</v>
      </c>
      <c r="B17" s="25" t="s">
        <v>76</v>
      </c>
      <c r="C17" s="8" t="s">
        <v>177</v>
      </c>
      <c r="D17" s="19" t="n">
        <f aca="false">COUNTIF(Sales_Data!B2:B16,"F*")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178</v>
      </c>
    </row>
    <row r="3" customFormat="false" ht="15" hidden="false" customHeight="false" outlineLevel="0" collapsed="false">
      <c r="A3" s="3" t="s">
        <v>2</v>
      </c>
      <c r="B3" s="3" t="s">
        <v>179</v>
      </c>
      <c r="C3" s="3" t="s">
        <v>154</v>
      </c>
      <c r="D3" s="3" t="s">
        <v>180</v>
      </c>
    </row>
    <row r="4" customFormat="false" ht="31.5" hidden="false" customHeight="true" outlineLevel="0" collapsed="false">
      <c r="A4" s="4" t="n">
        <v>1</v>
      </c>
      <c r="B4" s="25" t="s">
        <v>181</v>
      </c>
      <c r="C4" s="7" t="s">
        <v>182</v>
      </c>
      <c r="D4" s="7" t="s">
        <v>183</v>
      </c>
    </row>
    <row r="5" customFormat="false" ht="31.5" hidden="false" customHeight="true" outlineLevel="0" collapsed="false">
      <c r="A5" s="4" t="n">
        <v>2</v>
      </c>
      <c r="B5" s="25" t="s">
        <v>181</v>
      </c>
      <c r="C5" s="7" t="s">
        <v>184</v>
      </c>
      <c r="D5" s="7" t="s">
        <v>185</v>
      </c>
    </row>
    <row r="6" customFormat="false" ht="31.5" hidden="false" customHeight="true" outlineLevel="0" collapsed="false">
      <c r="A6" s="4" t="n">
        <v>3</v>
      </c>
      <c r="B6" s="25" t="s">
        <v>181</v>
      </c>
      <c r="C6" s="7" t="s">
        <v>186</v>
      </c>
      <c r="D6" s="7" t="s">
        <v>187</v>
      </c>
    </row>
    <row r="7" customFormat="false" ht="31.5" hidden="false" customHeight="true" outlineLevel="0" collapsed="false">
      <c r="A7" s="4" t="n">
        <v>4</v>
      </c>
      <c r="B7" s="25" t="s">
        <v>181</v>
      </c>
      <c r="C7" s="7" t="s">
        <v>188</v>
      </c>
      <c r="D7" s="7" t="s">
        <v>189</v>
      </c>
    </row>
    <row r="8" customFormat="false" ht="31.5" hidden="false" customHeight="true" outlineLevel="0" collapsed="false">
      <c r="A8" s="4" t="n">
        <v>5</v>
      </c>
      <c r="B8" s="25" t="s">
        <v>181</v>
      </c>
      <c r="C8" s="7" t="s">
        <v>190</v>
      </c>
      <c r="D8" s="7" t="s">
        <v>191</v>
      </c>
    </row>
    <row r="9" customFormat="false" ht="31.5" hidden="false" customHeight="true" outlineLevel="0" collapsed="false">
      <c r="A9" s="4" t="n">
        <v>6</v>
      </c>
      <c r="B9" s="25" t="s">
        <v>192</v>
      </c>
      <c r="C9" s="7" t="s">
        <v>193</v>
      </c>
      <c r="D9" s="7" t="s">
        <v>194</v>
      </c>
    </row>
    <row r="10" customFormat="false" ht="31.5" hidden="false" customHeight="true" outlineLevel="0" collapsed="false">
      <c r="A10" s="4" t="n">
        <v>7</v>
      </c>
      <c r="B10" s="25" t="s">
        <v>192</v>
      </c>
      <c r="C10" s="7" t="s">
        <v>195</v>
      </c>
      <c r="D10" s="7" t="s">
        <v>196</v>
      </c>
    </row>
    <row r="11" customFormat="false" ht="31.5" hidden="false" customHeight="true" outlineLevel="0" collapsed="false">
      <c r="A11" s="4" t="n">
        <v>8</v>
      </c>
      <c r="B11" s="25" t="s">
        <v>192</v>
      </c>
      <c r="C11" s="7" t="s">
        <v>197</v>
      </c>
      <c r="D11" s="7" t="s">
        <v>198</v>
      </c>
    </row>
    <row r="12" customFormat="false" ht="31.5" hidden="false" customHeight="true" outlineLevel="0" collapsed="false">
      <c r="A12" s="4" t="n">
        <v>9</v>
      </c>
      <c r="B12" s="25" t="s">
        <v>192</v>
      </c>
      <c r="C12" s="7" t="s">
        <v>199</v>
      </c>
      <c r="D12" s="7" t="s">
        <v>200</v>
      </c>
    </row>
    <row r="13" customFormat="false" ht="31.5" hidden="false" customHeight="true" outlineLevel="0" collapsed="false">
      <c r="A13" s="4" t="n">
        <v>10</v>
      </c>
      <c r="B13" s="25" t="s">
        <v>192</v>
      </c>
      <c r="C13" s="7" t="s">
        <v>201</v>
      </c>
      <c r="D13" s="7" t="s">
        <v>202</v>
      </c>
    </row>
    <row r="14" customFormat="false" ht="31.5" hidden="false" customHeight="true" outlineLevel="0" collapsed="false">
      <c r="A14" s="4" t="n">
        <v>11</v>
      </c>
      <c r="B14" s="25" t="s">
        <v>192</v>
      </c>
      <c r="C14" s="7" t="s">
        <v>203</v>
      </c>
      <c r="D14" s="7" t="s">
        <v>204</v>
      </c>
    </row>
    <row r="15" customFormat="false" ht="31.5" hidden="false" customHeight="true" outlineLevel="0" collapsed="false">
      <c r="A15" s="4" t="n">
        <v>12</v>
      </c>
      <c r="B15" s="25" t="s">
        <v>205</v>
      </c>
      <c r="C15" s="7" t="s">
        <v>206</v>
      </c>
      <c r="D15" s="7" t="s">
        <v>207</v>
      </c>
    </row>
    <row r="16" customFormat="false" ht="31.5" hidden="false" customHeight="true" outlineLevel="0" collapsed="false">
      <c r="A16" s="4" t="n">
        <v>13</v>
      </c>
      <c r="B16" s="25" t="s">
        <v>205</v>
      </c>
      <c r="C16" s="7" t="s">
        <v>208</v>
      </c>
      <c r="D16" s="7" t="s">
        <v>209</v>
      </c>
    </row>
    <row r="17" customFormat="false" ht="31.5" hidden="false" customHeight="true" outlineLevel="0" collapsed="false">
      <c r="A17" s="4" t="n">
        <v>14</v>
      </c>
      <c r="B17" s="25" t="s">
        <v>205</v>
      </c>
      <c r="C17" s="7" t="s">
        <v>210</v>
      </c>
      <c r="D17" s="7" t="s">
        <v>211</v>
      </c>
    </row>
    <row r="18" customFormat="false" ht="31.5" hidden="false" customHeight="true" outlineLevel="0" collapsed="false">
      <c r="A18" s="4" t="n">
        <v>15</v>
      </c>
      <c r="B18" s="25" t="s">
        <v>205</v>
      </c>
      <c r="C18" s="7" t="s">
        <v>212</v>
      </c>
      <c r="D18" s="7" t="s">
        <v>213</v>
      </c>
    </row>
    <row r="19" customFormat="false" ht="31.5" hidden="false" customHeight="true" outlineLevel="0" collapsed="false">
      <c r="A19" s="4" t="n">
        <v>16</v>
      </c>
      <c r="B19" s="25" t="s">
        <v>205</v>
      </c>
      <c r="C19" s="7" t="s">
        <v>214</v>
      </c>
      <c r="D19" s="7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2026-09-30T18:49:31Z</dcterms:created>
  <dc:creator>openpyxl</dc:creator>
  <dc:description/>
  <dc:language>en-US</dc:language>
  <cp:lastModifiedBy/>
  <dcterms:modified xsi:type="dcterms:W3CDTF">2026-09-30T18:49:31Z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